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Shawn\Desktop\Research\PhD-3\Manuscript\NIPS2026\"/>
    </mc:Choice>
  </mc:AlternateContent>
  <xr:revisionPtr revIDLastSave="0" documentId="13_ncr:1_{7DAD90EE-4EE3-4F3B-828C-59279D43A852}" xr6:coauthVersionLast="36" xr6:coauthVersionMax="36" xr10:uidLastSave="{00000000-0000-0000-0000-000000000000}"/>
  <bookViews>
    <workbookView xWindow="0" yWindow="0" windowWidth="17970" windowHeight="6890" xr2:uid="{00000000-000D-0000-FFFF-FFFF00000000}"/>
  </bookViews>
  <sheets>
    <sheet name="Comparison" sheetId="1" r:id="rId1"/>
  </sheets>
  <calcPr calcId="179021"/>
</workbook>
</file>

<file path=xl/calcChain.xml><?xml version="1.0" encoding="utf-8"?>
<calcChain xmlns="http://schemas.openxmlformats.org/spreadsheetml/2006/main">
  <c r="F22" i="1" l="1"/>
  <c r="F23" i="1"/>
  <c r="G22" i="1"/>
  <c r="G23" i="1"/>
  <c r="G21" i="1"/>
  <c r="F21" i="1"/>
</calcChain>
</file>

<file path=xl/sharedStrings.xml><?xml version="1.0" encoding="utf-8"?>
<sst xmlns="http://schemas.openxmlformats.org/spreadsheetml/2006/main" count="105" uniqueCount="47">
  <si>
    <t>Table 1: Comparison of occupancy prediction on the Occ-V2X-Real.</t>
  </si>
  <si>
    <t>Methods</t>
  </si>
  <si>
    <t>running</t>
  </si>
  <si>
    <t>Modality</t>
  </si>
  <si>
    <t>Backbone</t>
  </si>
  <si>
    <t>gIoU</t>
  </si>
  <si>
    <t>mIoU</t>
  </si>
  <si>
    <t>mean dyn.</t>
  </si>
  <si>
    <t>dynamic</t>
  </si>
  <si>
    <t>static</t>
  </si>
  <si>
    <t>bicycle</t>
  </si>
  <si>
    <t>bus</t>
  </si>
  <si>
    <t>car</t>
  </si>
  <si>
    <t>motorcycle</t>
  </si>
  <si>
    <t>pedestrian</t>
  </si>
  <si>
    <t>truck</t>
  </si>
  <si>
    <t>others</t>
  </si>
  <si>
    <t>barrier</t>
  </si>
  <si>
    <t>traffic cone</t>
  </si>
  <si>
    <t>drive. surf.</t>
  </si>
  <si>
    <t>sidewalk</t>
  </si>
  <si>
    <t>terrain</t>
  </si>
  <si>
    <t>manmade</t>
  </si>
  <si>
    <t>vegetation</t>
  </si>
  <si>
    <t>free</t>
  </si>
  <si>
    <t>V2XOcc</t>
  </si>
  <si>
    <t>done</t>
  </si>
  <si>
    <t>L+C</t>
  </si>
  <si>
    <t>R50</t>
  </si>
  <si>
    <t>M-CONet</t>
  </si>
  <si>
    <t>BEVFusion</t>
  </si>
  <si>
    <t>BEVDepth</t>
  </si>
  <si>
    <t>L</t>
  </si>
  <si>
    <t>/</t>
  </si>
  <si>
    <t>L-CONet</t>
  </si>
  <si>
    <t>VoxelNet</t>
  </si>
  <si>
    <t>PointPillars</t>
  </si>
  <si>
    <t>C</t>
  </si>
  <si>
    <t>SurroundOcc</t>
  </si>
  <si>
    <t>C-CONet</t>
  </si>
  <si>
    <t>BEVDet</t>
  </si>
  <si>
    <t>TPVFormer</t>
  </si>
  <si>
    <t>BEVFormer</t>
  </si>
  <si>
    <t>V2XOcc w/o head</t>
  </si>
  <si>
    <t>V2XOcc w/o prior</t>
  </si>
  <si>
    <t>V2XOcc w/o anything</t>
    <phoneticPr fontId="2" type="noConversion"/>
  </si>
  <si>
    <t>FB-BEV (base)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</si>
</sst>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 x14ac:knownFonts="1">
    <font>
      <sz val="11"/>
      <color theme="1"/>
      <name val="宋体"/>
      <family val="2"/>
      <scheme val="minor"/>
    </font>
    <font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E3A15B"/>
        <bgColor rgb="FFE3A15B"/>
      </patternFill>
    </fill>
    <fill>
      <patternFill patternType="solid">
        <fgColor rgb="FFF5B7C8"/>
        <bgColor rgb="FFF5B7C8"/>
      </patternFill>
    </fill>
    <fill>
      <patternFill patternType="solid">
        <fgColor rgb="FFE8E05A"/>
        <bgColor rgb="FFE8E05A"/>
      </patternFill>
    </fill>
    <fill>
      <patternFill patternType="solid">
        <fgColor rgb="FF4EA5F5"/>
        <bgColor rgb="FF4EA5F5"/>
      </patternFill>
    </fill>
    <fill>
      <patternFill patternType="solid">
        <fgColor rgb="FFFF8C1A"/>
        <bgColor rgb="FFFF8C1A"/>
      </patternFill>
    </fill>
    <fill>
      <patternFill patternType="solid">
        <fgColor rgb="FFFF1C1C"/>
        <bgColor rgb="FFFF1C1C"/>
      </patternFill>
    </fill>
    <fill>
      <patternFill patternType="solid">
        <fgColor rgb="FFF9E38A"/>
        <bgColor rgb="FFF9E38A"/>
      </patternFill>
    </fill>
    <fill>
      <patternFill patternType="solid">
        <fgColor rgb="FF8A2BE2"/>
        <bgColor rgb="FF8A2BE2"/>
      </patternFill>
    </fill>
    <fill>
      <patternFill patternType="solid"/>
    </fill>
    <fill>
      <patternFill patternType="solid">
        <fgColor rgb="FFE31EFF"/>
        <bgColor rgb="FFE31EFF"/>
      </patternFill>
    </fill>
    <fill>
      <patternFill patternType="solid">
        <fgColor rgb="FF4B0055"/>
        <bgColor rgb="FF4B0055"/>
      </patternFill>
    </fill>
    <fill>
      <patternFill patternType="solid">
        <fgColor rgb="FF8FF06A"/>
        <bgColor rgb="FF8FF06A"/>
      </patternFill>
    </fill>
    <fill>
      <patternFill patternType="solid">
        <fgColor rgb="FFD9D9F3"/>
        <bgColor rgb="FFD9D9F3"/>
      </patternFill>
    </fill>
    <fill>
      <patternFill patternType="solid">
        <fgColor rgb="FF10B010"/>
        <bgColor rgb="FF10B010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1" fillId="20" borderId="2" xfId="0" applyNumberFormat="1" applyFont="1" applyFill="1" applyBorder="1" applyAlignment="1">
      <alignment horizontal="center" vertical="center"/>
    </xf>
    <xf numFmtId="49" fontId="1" fillId="17" borderId="2" xfId="0" applyNumberFormat="1" applyFont="1" applyFill="1" applyBorder="1" applyAlignment="1">
      <alignment horizontal="center" vertical="center"/>
    </xf>
    <xf numFmtId="49" fontId="1" fillId="18" borderId="2" xfId="0" applyNumberFormat="1" applyFont="1" applyFill="1" applyBorder="1" applyAlignment="1">
      <alignment horizontal="center" vertical="center"/>
    </xf>
    <xf numFmtId="49" fontId="1" fillId="19" borderId="2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 textRotation="90" wrapText="1"/>
    </xf>
    <xf numFmtId="176" fontId="1" fillId="4" borderId="2" xfId="0" applyNumberFormat="1" applyFont="1" applyFill="1" applyBorder="1" applyAlignment="1">
      <alignment horizontal="center" vertical="center" textRotation="90" wrapText="1"/>
    </xf>
    <xf numFmtId="176" fontId="1" fillId="5" borderId="2" xfId="0" applyNumberFormat="1" applyFont="1" applyFill="1" applyBorder="1" applyAlignment="1">
      <alignment horizontal="center" vertical="center" textRotation="90" wrapText="1"/>
    </xf>
    <xf numFmtId="176" fontId="1" fillId="6" borderId="2" xfId="0" applyNumberFormat="1" applyFont="1" applyFill="1" applyBorder="1" applyAlignment="1">
      <alignment horizontal="center" vertical="center" textRotation="90" wrapText="1"/>
    </xf>
    <xf numFmtId="176" fontId="1" fillId="7" borderId="2" xfId="0" applyNumberFormat="1" applyFont="1" applyFill="1" applyBorder="1" applyAlignment="1">
      <alignment horizontal="center" vertical="center" textRotation="90" wrapText="1"/>
    </xf>
    <xf numFmtId="176" fontId="1" fillId="9" borderId="2" xfId="0" applyNumberFormat="1" applyFont="1" applyFill="1" applyBorder="1" applyAlignment="1">
      <alignment horizontal="center" vertical="center" textRotation="90" wrapText="1"/>
    </xf>
    <xf numFmtId="176" fontId="1" fillId="10" borderId="2" xfId="0" applyNumberFormat="1" applyFont="1" applyFill="1" applyBorder="1" applyAlignment="1">
      <alignment horizontal="center" vertical="center" textRotation="90" wrapText="1"/>
    </xf>
    <xf numFmtId="176" fontId="1" fillId="2" borderId="2" xfId="0" applyNumberFormat="1" applyFont="1" applyFill="1" applyBorder="1" applyAlignment="1">
      <alignment horizontal="center" vertical="center" textRotation="90" wrapText="1"/>
    </xf>
    <xf numFmtId="176" fontId="1" fillId="8" borderId="2" xfId="0" applyNumberFormat="1" applyFont="1" applyFill="1" applyBorder="1" applyAlignment="1">
      <alignment horizontal="center" vertical="center" textRotation="90" wrapText="1"/>
    </xf>
    <xf numFmtId="176" fontId="1" fillId="11" borderId="2" xfId="0" applyNumberFormat="1" applyFont="1" applyFill="1" applyBorder="1" applyAlignment="1">
      <alignment horizontal="center" vertical="center" textRotation="90" wrapText="1"/>
    </xf>
    <xf numFmtId="176" fontId="1" fillId="12" borderId="2" xfId="0" applyNumberFormat="1" applyFont="1" applyFill="1" applyBorder="1" applyAlignment="1">
      <alignment horizontal="center" vertical="center" textRotation="90" wrapText="1"/>
    </xf>
    <xf numFmtId="176" fontId="1" fillId="13" borderId="2" xfId="0" applyNumberFormat="1" applyFont="1" applyFill="1" applyBorder="1" applyAlignment="1">
      <alignment horizontal="center" vertical="center" textRotation="90" wrapText="1"/>
    </xf>
    <xf numFmtId="176" fontId="1" fillId="14" borderId="2" xfId="0" applyNumberFormat="1" applyFont="1" applyFill="1" applyBorder="1" applyAlignment="1">
      <alignment horizontal="center" vertical="center" textRotation="90" wrapText="1"/>
    </xf>
    <xf numFmtId="176" fontId="1" fillId="15" borderId="2" xfId="0" applyNumberFormat="1" applyFont="1" applyFill="1" applyBorder="1" applyAlignment="1">
      <alignment horizontal="center" vertical="center" textRotation="90" wrapText="1"/>
    </xf>
    <xf numFmtId="176" fontId="1" fillId="16" borderId="2" xfId="0" applyNumberFormat="1" applyFont="1" applyFill="1" applyBorder="1" applyAlignment="1">
      <alignment horizontal="center" vertical="center" textRotation="90" wrapText="1"/>
    </xf>
    <xf numFmtId="176" fontId="1" fillId="17" borderId="2" xfId="0" applyNumberFormat="1" applyFont="1" applyFill="1" applyBorder="1" applyAlignment="1">
      <alignment horizontal="center" vertical="center"/>
    </xf>
    <xf numFmtId="177" fontId="1" fillId="17" borderId="2" xfId="0" applyNumberFormat="1" applyFont="1" applyFill="1" applyBorder="1" applyAlignment="1">
      <alignment horizontal="center" vertical="center"/>
    </xf>
    <xf numFmtId="177" fontId="3" fillId="17" borderId="2" xfId="0" applyNumberFormat="1" applyFont="1" applyFill="1" applyBorder="1" applyAlignment="1">
      <alignment horizontal="center" vertical="center"/>
    </xf>
    <xf numFmtId="176" fontId="1" fillId="18" borderId="2" xfId="0" applyNumberFormat="1" applyFont="1" applyFill="1" applyBorder="1" applyAlignment="1">
      <alignment horizontal="center" vertical="center"/>
    </xf>
    <xf numFmtId="177" fontId="1" fillId="18" borderId="2" xfId="0" applyNumberFormat="1" applyFont="1" applyFill="1" applyBorder="1" applyAlignment="1">
      <alignment horizontal="center" vertical="center"/>
    </xf>
    <xf numFmtId="177" fontId="3" fillId="18" borderId="2" xfId="0" applyNumberFormat="1" applyFont="1" applyFill="1" applyBorder="1" applyAlignment="1">
      <alignment horizontal="center" vertical="center"/>
    </xf>
    <xf numFmtId="176" fontId="1" fillId="20" borderId="2" xfId="0" applyNumberFormat="1" applyFont="1" applyFill="1" applyBorder="1" applyAlignment="1">
      <alignment horizontal="center" vertical="center"/>
    </xf>
    <xf numFmtId="177" fontId="3" fillId="20" borderId="1" xfId="0" applyNumberFormat="1" applyFont="1" applyFill="1" applyBorder="1" applyAlignment="1">
      <alignment horizontal="center" vertical="center"/>
    </xf>
    <xf numFmtId="177" fontId="1" fillId="20" borderId="2" xfId="0" applyNumberFormat="1" applyFont="1" applyFill="1" applyBorder="1" applyAlignment="1">
      <alignment horizontal="center" vertical="center"/>
    </xf>
    <xf numFmtId="177" fontId="3" fillId="20" borderId="2" xfId="0" applyNumberFormat="1" applyFont="1" applyFill="1" applyBorder="1" applyAlignment="1">
      <alignment horizontal="center" vertical="center"/>
    </xf>
    <xf numFmtId="176" fontId="1" fillId="19" borderId="2" xfId="0" applyNumberFormat="1" applyFont="1" applyFill="1" applyBorder="1" applyAlignment="1">
      <alignment horizontal="center" vertical="center"/>
    </xf>
    <xf numFmtId="177" fontId="1" fillId="19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76" fontId="1" fillId="0" borderId="2" xfId="0" applyNumberFormat="1" applyFont="1" applyBorder="1" applyAlignment="1">
      <alignment horizontal="center" vertical="center" wrapText="1"/>
    </xf>
    <xf numFmtId="0" fontId="0" fillId="0" borderId="6" xfId="0" applyBorder="1"/>
    <xf numFmtId="176" fontId="1" fillId="0" borderId="7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showGridLines="0" tabSelected="1" zoomScale="85" zoomScaleNormal="85" workbookViewId="0">
      <pane xSplit="6" ySplit="3" topLeftCell="G4" activePane="bottomRight" state="frozen"/>
      <selection pane="topRight"/>
      <selection pane="bottomLeft"/>
      <selection pane="bottomRight" activeCell="J27" sqref="J27"/>
    </sheetView>
  </sheetViews>
  <sheetFormatPr defaultColWidth="10.6328125" defaultRowHeight="20" customHeight="1" x14ac:dyDescent="0.25"/>
  <cols>
    <col min="1" max="1" width="21.7265625" style="5" customWidth="1"/>
    <col min="2" max="26" width="10.6328125" style="5" customWidth="1"/>
    <col min="27" max="16384" width="10.6328125" style="5"/>
  </cols>
  <sheetData>
    <row r="1" spans="1:23" ht="20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  <c r="W1" s="6"/>
    </row>
    <row r="2" spans="1:23" ht="20" customHeight="1" x14ac:dyDescent="0.2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9" t="s">
        <v>8</v>
      </c>
      <c r="I2" s="35"/>
      <c r="J2" s="35"/>
      <c r="K2" s="35"/>
      <c r="L2" s="35"/>
      <c r="M2" s="35"/>
      <c r="N2" s="37" t="s">
        <v>9</v>
      </c>
      <c r="O2" s="35"/>
      <c r="P2" s="35"/>
      <c r="Q2" s="35"/>
      <c r="R2" s="35"/>
      <c r="S2" s="35"/>
      <c r="T2" s="35"/>
      <c r="U2" s="35"/>
      <c r="V2" s="36"/>
      <c r="W2" s="6"/>
    </row>
    <row r="3" spans="1:23" ht="80" customHeight="1" x14ac:dyDescent="0.25">
      <c r="A3" s="38"/>
      <c r="B3" s="38"/>
      <c r="C3" s="38"/>
      <c r="D3" s="38"/>
      <c r="E3" s="38"/>
      <c r="F3" s="38"/>
      <c r="G3" s="38"/>
      <c r="H3" s="7" t="s">
        <v>10</v>
      </c>
      <c r="I3" s="8" t="s">
        <v>11</v>
      </c>
      <c r="J3" s="9" t="s">
        <v>12</v>
      </c>
      <c r="K3" s="10" t="s">
        <v>13</v>
      </c>
      <c r="L3" s="11" t="s">
        <v>14</v>
      </c>
      <c r="M3" s="12" t="s">
        <v>15</v>
      </c>
      <c r="N3" s="13" t="s">
        <v>16</v>
      </c>
      <c r="O3" s="14" t="s">
        <v>17</v>
      </c>
      <c r="P3" s="15" t="s">
        <v>18</v>
      </c>
      <c r="Q3" s="16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1" t="s">
        <v>24</v>
      </c>
      <c r="W3" s="6"/>
    </row>
    <row r="4" spans="1:23" ht="20" customHeight="1" x14ac:dyDescent="0.25">
      <c r="A4" s="22" t="s">
        <v>25</v>
      </c>
      <c r="B4" s="2" t="s">
        <v>26</v>
      </c>
      <c r="C4" s="22" t="s">
        <v>27</v>
      </c>
      <c r="D4" s="22" t="s">
        <v>28</v>
      </c>
      <c r="E4" s="23">
        <v>83.95</v>
      </c>
      <c r="F4" s="23">
        <v>59.89</v>
      </c>
      <c r="G4" s="23">
        <v>35.288333333333327</v>
      </c>
      <c r="H4" s="23">
        <v>15.31</v>
      </c>
      <c r="I4" s="23">
        <v>70.16</v>
      </c>
      <c r="J4" s="23">
        <v>57.54</v>
      </c>
      <c r="K4" s="23">
        <v>18.07</v>
      </c>
      <c r="L4" s="23">
        <v>32.590000000000003</v>
      </c>
      <c r="M4" s="23">
        <v>18.059999999999999</v>
      </c>
      <c r="N4" s="23">
        <v>55.55</v>
      </c>
      <c r="O4" s="23">
        <v>74.16</v>
      </c>
      <c r="P4" s="23">
        <v>79.33</v>
      </c>
      <c r="Q4" s="23">
        <v>86.09</v>
      </c>
      <c r="R4" s="23">
        <v>83.27</v>
      </c>
      <c r="S4" s="23">
        <v>88.62</v>
      </c>
      <c r="T4" s="23">
        <v>80.78</v>
      </c>
      <c r="U4" s="23">
        <v>78.92</v>
      </c>
      <c r="V4" s="23">
        <v>97.86</v>
      </c>
      <c r="W4" s="6"/>
    </row>
    <row r="5" spans="1:23" ht="20" customHeight="1" x14ac:dyDescent="0.25">
      <c r="A5" s="22" t="s">
        <v>29</v>
      </c>
      <c r="B5" s="2" t="s">
        <v>26</v>
      </c>
      <c r="C5" s="22" t="s">
        <v>27</v>
      </c>
      <c r="D5" s="22" t="s">
        <v>28</v>
      </c>
      <c r="E5" s="24">
        <v>81.400000000000006</v>
      </c>
      <c r="F5" s="24">
        <v>57.23</v>
      </c>
      <c r="G5" s="23">
        <v>34.784999999999989</v>
      </c>
      <c r="H5" s="24">
        <v>22.52</v>
      </c>
      <c r="I5" s="24">
        <v>65.489999999999995</v>
      </c>
      <c r="J5" s="24">
        <v>54.2</v>
      </c>
      <c r="K5" s="24">
        <v>19.95</v>
      </c>
      <c r="L5" s="24">
        <v>32.26</v>
      </c>
      <c r="M5" s="24">
        <v>14.29</v>
      </c>
      <c r="N5" s="24">
        <v>48.78</v>
      </c>
      <c r="O5" s="24">
        <v>76.790000000000006</v>
      </c>
      <c r="P5" s="24">
        <v>66.67</v>
      </c>
      <c r="Q5" s="24">
        <v>84.64</v>
      </c>
      <c r="R5" s="24">
        <v>80.739999999999995</v>
      </c>
      <c r="S5" s="24">
        <v>84.18</v>
      </c>
      <c r="T5" s="24">
        <v>76.73</v>
      </c>
      <c r="U5" s="24">
        <v>73.989999999999995</v>
      </c>
      <c r="V5" s="24">
        <v>97.51</v>
      </c>
      <c r="W5" s="6"/>
    </row>
    <row r="6" spans="1:23" ht="20" customHeight="1" x14ac:dyDescent="0.25">
      <c r="A6" s="22" t="s">
        <v>30</v>
      </c>
      <c r="B6" s="2" t="s">
        <v>26</v>
      </c>
      <c r="C6" s="22" t="s">
        <v>27</v>
      </c>
      <c r="D6" s="22" t="s">
        <v>28</v>
      </c>
      <c r="E6" s="24">
        <v>77.010000000000005</v>
      </c>
      <c r="F6" s="24">
        <v>55.44</v>
      </c>
      <c r="G6" s="23">
        <v>32.57</v>
      </c>
      <c r="H6" s="23">
        <v>11.03</v>
      </c>
      <c r="I6" s="23">
        <v>65.040000000000006</v>
      </c>
      <c r="J6" s="23">
        <v>55.73</v>
      </c>
      <c r="K6" s="23">
        <v>15.26</v>
      </c>
      <c r="L6" s="23">
        <v>29.48</v>
      </c>
      <c r="M6" s="23">
        <v>18.88</v>
      </c>
      <c r="N6" s="23">
        <v>55.04</v>
      </c>
      <c r="O6" s="23">
        <v>72.040000000000006</v>
      </c>
      <c r="P6" s="23">
        <v>72.069999999999993</v>
      </c>
      <c r="Q6" s="23">
        <v>75.430000000000007</v>
      </c>
      <c r="R6" s="23">
        <v>73.53</v>
      </c>
      <c r="S6" s="23">
        <v>81.260000000000005</v>
      </c>
      <c r="T6" s="23">
        <v>76.819999999999993</v>
      </c>
      <c r="U6" s="23">
        <v>74.599999999999994</v>
      </c>
      <c r="V6" s="23">
        <v>96.58</v>
      </c>
      <c r="W6" s="6"/>
    </row>
    <row r="7" spans="1:23" ht="20" customHeight="1" x14ac:dyDescent="0.25">
      <c r="A7" s="22" t="s">
        <v>31</v>
      </c>
      <c r="B7" s="2" t="s">
        <v>26</v>
      </c>
      <c r="C7" s="22" t="s">
        <v>27</v>
      </c>
      <c r="D7" s="22" t="s">
        <v>28</v>
      </c>
      <c r="E7" s="23">
        <v>76.2</v>
      </c>
      <c r="F7" s="24">
        <v>55.34</v>
      </c>
      <c r="G7" s="23">
        <v>33.066666666666663</v>
      </c>
      <c r="H7" s="23">
        <v>12.61</v>
      </c>
      <c r="I7" s="23">
        <v>65.349999999999994</v>
      </c>
      <c r="J7" s="23">
        <v>55.37</v>
      </c>
      <c r="K7" s="23">
        <v>17.510000000000002</v>
      </c>
      <c r="L7" s="23">
        <v>29.61</v>
      </c>
      <c r="M7" s="23">
        <v>17.95</v>
      </c>
      <c r="N7" s="23">
        <v>54.96</v>
      </c>
      <c r="O7" s="23">
        <v>73.5</v>
      </c>
      <c r="P7" s="24">
        <v>71.2</v>
      </c>
      <c r="Q7" s="23">
        <v>74.790000000000006</v>
      </c>
      <c r="R7" s="23">
        <v>73.09</v>
      </c>
      <c r="S7" s="23">
        <v>79.69</v>
      </c>
      <c r="T7" s="23">
        <v>75.53</v>
      </c>
      <c r="U7" s="23">
        <v>73.56</v>
      </c>
      <c r="V7" s="23">
        <v>96.41</v>
      </c>
      <c r="W7" s="6"/>
    </row>
    <row r="8" spans="1:23" ht="20" customHeight="1" x14ac:dyDescent="0.25">
      <c r="A8" s="25" t="s">
        <v>25</v>
      </c>
      <c r="B8" s="3" t="s">
        <v>26</v>
      </c>
      <c r="C8" s="25" t="s">
        <v>32</v>
      </c>
      <c r="D8" s="25" t="s">
        <v>33</v>
      </c>
      <c r="E8" s="26">
        <v>82.6</v>
      </c>
      <c r="F8" s="26">
        <v>58.06</v>
      </c>
      <c r="G8" s="26">
        <v>34.520000000000003</v>
      </c>
      <c r="H8" s="26">
        <v>15.38</v>
      </c>
      <c r="I8" s="26">
        <v>69.45</v>
      </c>
      <c r="J8" s="26">
        <v>56.92</v>
      </c>
      <c r="K8" s="26">
        <v>17.309999999999999</v>
      </c>
      <c r="L8" s="26">
        <v>32.89</v>
      </c>
      <c r="M8" s="26">
        <v>15.17</v>
      </c>
      <c r="N8" s="26">
        <v>49.96</v>
      </c>
      <c r="O8" s="26">
        <v>73.47</v>
      </c>
      <c r="P8" s="26">
        <v>73.58</v>
      </c>
      <c r="Q8" s="26">
        <v>85.21</v>
      </c>
      <c r="R8" s="26">
        <v>81.790000000000006</v>
      </c>
      <c r="S8" s="26">
        <v>86.69</v>
      </c>
      <c r="T8" s="26">
        <v>78.569999999999993</v>
      </c>
      <c r="U8" s="26">
        <v>76.45</v>
      </c>
      <c r="V8" s="26">
        <v>97.66</v>
      </c>
      <c r="W8" s="6"/>
    </row>
    <row r="9" spans="1:23" ht="20" customHeight="1" x14ac:dyDescent="0.25">
      <c r="A9" s="25" t="s">
        <v>34</v>
      </c>
      <c r="B9" s="3" t="s">
        <v>26</v>
      </c>
      <c r="C9" s="25" t="s">
        <v>32</v>
      </c>
      <c r="D9" s="25" t="s">
        <v>33</v>
      </c>
      <c r="E9" s="26">
        <v>83.25</v>
      </c>
      <c r="F9" s="26">
        <v>57.76</v>
      </c>
      <c r="G9" s="26">
        <v>32.483333333333327</v>
      </c>
      <c r="H9" s="26">
        <v>10.67</v>
      </c>
      <c r="I9" s="26">
        <v>70.739999999999995</v>
      </c>
      <c r="J9" s="26">
        <v>57.16</v>
      </c>
      <c r="K9" s="26">
        <v>14.87</v>
      </c>
      <c r="L9" s="26">
        <v>28.81</v>
      </c>
      <c r="M9" s="26">
        <v>12.65</v>
      </c>
      <c r="N9" s="26">
        <v>53.46</v>
      </c>
      <c r="O9" s="26">
        <v>76.569999999999993</v>
      </c>
      <c r="P9" s="26">
        <v>72.23</v>
      </c>
      <c r="Q9" s="26">
        <v>85.55</v>
      </c>
      <c r="R9" s="26">
        <v>82.77</v>
      </c>
      <c r="S9" s="26">
        <v>86.4</v>
      </c>
      <c r="T9" s="26">
        <v>79.900000000000006</v>
      </c>
      <c r="U9" s="26">
        <v>76.849999999999994</v>
      </c>
      <c r="V9" s="26">
        <v>97.76</v>
      </c>
      <c r="W9" s="6"/>
    </row>
    <row r="10" spans="1:23" ht="20" customHeight="1" x14ac:dyDescent="0.25">
      <c r="A10" s="25" t="s">
        <v>35</v>
      </c>
      <c r="B10" s="3" t="s">
        <v>26</v>
      </c>
      <c r="C10" s="25" t="s">
        <v>32</v>
      </c>
      <c r="D10" s="25" t="s">
        <v>33</v>
      </c>
      <c r="E10" s="27">
        <v>75.69</v>
      </c>
      <c r="F10" s="27">
        <v>53.87</v>
      </c>
      <c r="G10" s="26">
        <v>31.133333333333329</v>
      </c>
      <c r="H10" s="26">
        <v>11.08</v>
      </c>
      <c r="I10" s="26">
        <v>65.63</v>
      </c>
      <c r="J10" s="26">
        <v>54.52</v>
      </c>
      <c r="K10" s="26">
        <v>13.43</v>
      </c>
      <c r="L10" s="26">
        <v>27.85</v>
      </c>
      <c r="M10" s="26">
        <v>14.29</v>
      </c>
      <c r="N10" s="26">
        <v>53.39</v>
      </c>
      <c r="O10" s="26">
        <v>72.22</v>
      </c>
      <c r="P10" s="26">
        <v>68.260000000000005</v>
      </c>
      <c r="Q10" s="26">
        <v>75.13</v>
      </c>
      <c r="R10" s="26">
        <v>72.349999999999994</v>
      </c>
      <c r="S10" s="26">
        <v>78.989999999999995</v>
      </c>
      <c r="T10" s="26">
        <v>74.69</v>
      </c>
      <c r="U10" s="26">
        <v>72.36</v>
      </c>
      <c r="V10" s="26">
        <v>96.31</v>
      </c>
      <c r="W10" s="6"/>
    </row>
    <row r="11" spans="1:23" ht="20" customHeight="1" x14ac:dyDescent="0.25">
      <c r="A11" s="25" t="s">
        <v>36</v>
      </c>
      <c r="B11" s="3" t="s">
        <v>26</v>
      </c>
      <c r="C11" s="25" t="s">
        <v>32</v>
      </c>
      <c r="D11" s="25" t="s">
        <v>33</v>
      </c>
      <c r="E11" s="27">
        <v>70.53</v>
      </c>
      <c r="F11" s="27">
        <v>50.51</v>
      </c>
      <c r="G11" s="26">
        <v>31.551666666666669</v>
      </c>
      <c r="H11" s="26">
        <v>14.99</v>
      </c>
      <c r="I11" s="26">
        <v>61.62</v>
      </c>
      <c r="J11" s="26">
        <v>54.03</v>
      </c>
      <c r="K11" s="26">
        <v>11.5</v>
      </c>
      <c r="L11" s="26">
        <v>32.619999999999997</v>
      </c>
      <c r="M11" s="26">
        <v>14.55</v>
      </c>
      <c r="N11" s="26">
        <v>44.06</v>
      </c>
      <c r="O11" s="26">
        <v>73.83</v>
      </c>
      <c r="P11" s="26">
        <v>57.49</v>
      </c>
      <c r="Q11" s="26">
        <v>72.11</v>
      </c>
      <c r="R11" s="26">
        <v>67.67</v>
      </c>
      <c r="S11" s="26">
        <v>70.75</v>
      </c>
      <c r="T11" s="26">
        <v>66.42</v>
      </c>
      <c r="U11" s="26">
        <v>65.56</v>
      </c>
      <c r="V11" s="26">
        <v>95.27</v>
      </c>
      <c r="W11" s="6"/>
    </row>
    <row r="12" spans="1:23" ht="20" customHeight="1" x14ac:dyDescent="0.25">
      <c r="A12" s="28" t="s">
        <v>25</v>
      </c>
      <c r="B12" s="1" t="s">
        <v>26</v>
      </c>
      <c r="C12" s="28" t="s">
        <v>37</v>
      </c>
      <c r="D12" s="28" t="s">
        <v>28</v>
      </c>
      <c r="E12" s="29">
        <v>80.83</v>
      </c>
      <c r="F12" s="30">
        <v>54.04</v>
      </c>
      <c r="G12" s="30">
        <v>26.864999999999998</v>
      </c>
      <c r="H12" s="30">
        <v>19.62</v>
      </c>
      <c r="I12" s="30">
        <v>53.89</v>
      </c>
      <c r="J12" s="30">
        <v>44.56</v>
      </c>
      <c r="K12" s="30">
        <v>11.77</v>
      </c>
      <c r="L12" s="30">
        <v>19.510000000000002</v>
      </c>
      <c r="M12" s="30">
        <v>11.84</v>
      </c>
      <c r="N12" s="30">
        <v>50.28</v>
      </c>
      <c r="O12" s="30">
        <v>72.819999999999993</v>
      </c>
      <c r="P12" s="30">
        <v>71.05</v>
      </c>
      <c r="Q12" s="30">
        <v>84.69</v>
      </c>
      <c r="R12" s="30">
        <v>80.34</v>
      </c>
      <c r="S12" s="30">
        <v>85.42</v>
      </c>
      <c r="T12" s="30">
        <v>76.010000000000005</v>
      </c>
      <c r="U12" s="30">
        <v>74.8</v>
      </c>
      <c r="V12" s="30">
        <v>97.41</v>
      </c>
      <c r="W12" s="6"/>
    </row>
    <row r="13" spans="1:23" ht="20" customHeight="1" x14ac:dyDescent="0.25">
      <c r="A13" s="1" t="s">
        <v>38</v>
      </c>
      <c r="B13" s="1" t="s">
        <v>26</v>
      </c>
      <c r="C13" s="28" t="s">
        <v>37</v>
      </c>
      <c r="D13" s="28" t="s">
        <v>28</v>
      </c>
      <c r="E13" s="30">
        <v>83.78</v>
      </c>
      <c r="F13" s="30">
        <v>50.77</v>
      </c>
      <c r="G13" s="30">
        <v>11.368333333333331</v>
      </c>
      <c r="H13" s="30">
        <v>12.66</v>
      </c>
      <c r="I13" s="30">
        <v>21.9</v>
      </c>
      <c r="J13" s="30">
        <v>18.54</v>
      </c>
      <c r="K13" s="30">
        <v>2.06</v>
      </c>
      <c r="L13" s="30">
        <v>9.5</v>
      </c>
      <c r="M13" s="30">
        <v>3.55</v>
      </c>
      <c r="N13" s="1">
        <v>65.09</v>
      </c>
      <c r="O13" s="30">
        <v>79.040000000000006</v>
      </c>
      <c r="P13" s="30">
        <v>72.7</v>
      </c>
      <c r="Q13" s="30">
        <v>86.38</v>
      </c>
      <c r="R13" s="30">
        <v>83.99</v>
      </c>
      <c r="S13" s="30">
        <v>91.1</v>
      </c>
      <c r="T13" s="30">
        <v>83.16</v>
      </c>
      <c r="U13" s="30">
        <v>81.09</v>
      </c>
      <c r="V13" s="30">
        <v>97.8</v>
      </c>
    </row>
    <row r="14" spans="1:23" ht="20" customHeight="1" x14ac:dyDescent="0.25">
      <c r="A14" s="28" t="s">
        <v>39</v>
      </c>
      <c r="B14" s="1" t="s">
        <v>26</v>
      </c>
      <c r="C14" s="28" t="s">
        <v>37</v>
      </c>
      <c r="D14" s="28" t="s">
        <v>28</v>
      </c>
      <c r="E14" s="30">
        <v>78.56</v>
      </c>
      <c r="F14" s="30">
        <v>49.25</v>
      </c>
      <c r="G14" s="30">
        <v>18.925000000000001</v>
      </c>
      <c r="H14" s="30">
        <v>3.06</v>
      </c>
      <c r="I14" s="30">
        <v>37.24</v>
      </c>
      <c r="J14" s="30">
        <v>39.47</v>
      </c>
      <c r="K14" s="30">
        <v>4.42</v>
      </c>
      <c r="L14" s="30">
        <v>17.64</v>
      </c>
      <c r="M14" s="30">
        <v>11.72</v>
      </c>
      <c r="N14" s="30">
        <v>45.01</v>
      </c>
      <c r="O14" s="30">
        <v>75.31</v>
      </c>
      <c r="P14" s="30">
        <v>64.94</v>
      </c>
      <c r="Q14" s="30">
        <v>84.29</v>
      </c>
      <c r="R14" s="30">
        <v>79.45</v>
      </c>
      <c r="S14" s="30">
        <v>84.27</v>
      </c>
      <c r="T14" s="30">
        <v>72.959999999999994</v>
      </c>
      <c r="U14" s="30">
        <v>69.790000000000006</v>
      </c>
      <c r="V14" s="30">
        <v>97.08</v>
      </c>
      <c r="W14" s="6"/>
    </row>
    <row r="15" spans="1:23" ht="20" customHeight="1" x14ac:dyDescent="0.25">
      <c r="A15" s="28" t="s">
        <v>40</v>
      </c>
      <c r="B15" s="1" t="s">
        <v>26</v>
      </c>
      <c r="C15" s="28" t="s">
        <v>37</v>
      </c>
      <c r="D15" s="28" t="s">
        <v>28</v>
      </c>
      <c r="E15" s="30">
        <v>71.5</v>
      </c>
      <c r="F15" s="31">
        <v>47.7</v>
      </c>
      <c r="G15" s="30">
        <v>23.004999999999999</v>
      </c>
      <c r="H15" s="30">
        <v>12.93</v>
      </c>
      <c r="I15" s="30">
        <v>48.96</v>
      </c>
      <c r="J15" s="30">
        <v>39.5</v>
      </c>
      <c r="K15" s="30">
        <v>9.2899999999999991</v>
      </c>
      <c r="L15" s="30">
        <v>17.54</v>
      </c>
      <c r="M15" s="30">
        <v>9.81</v>
      </c>
      <c r="N15" s="30">
        <v>46.12</v>
      </c>
      <c r="O15" s="30">
        <v>70.13</v>
      </c>
      <c r="P15" s="31">
        <v>59.65</v>
      </c>
      <c r="Q15" s="30">
        <v>73.08</v>
      </c>
      <c r="R15" s="30">
        <v>69.86</v>
      </c>
      <c r="S15" s="30">
        <v>76.66</v>
      </c>
      <c r="T15" s="30">
        <v>68.400000000000006</v>
      </c>
      <c r="U15" s="30">
        <v>65.930000000000007</v>
      </c>
      <c r="V15" s="30">
        <v>95.47</v>
      </c>
      <c r="W15" s="6"/>
    </row>
    <row r="16" spans="1:23" ht="20" customHeight="1" x14ac:dyDescent="0.25">
      <c r="A16" s="28" t="s">
        <v>31</v>
      </c>
      <c r="B16" s="1" t="s">
        <v>26</v>
      </c>
      <c r="C16" s="28" t="s">
        <v>37</v>
      </c>
      <c r="D16" s="28" t="s">
        <v>28</v>
      </c>
      <c r="E16" s="31">
        <v>71.89</v>
      </c>
      <c r="F16" s="31">
        <v>46.81</v>
      </c>
      <c r="G16" s="30">
        <v>19.645</v>
      </c>
      <c r="H16" s="30">
        <v>14.84</v>
      </c>
      <c r="I16" s="30">
        <v>33.869999999999997</v>
      </c>
      <c r="J16" s="30">
        <v>38.74</v>
      </c>
      <c r="K16" s="30">
        <v>3.42</v>
      </c>
      <c r="L16" s="30">
        <v>16.86</v>
      </c>
      <c r="M16" s="30">
        <v>10.14</v>
      </c>
      <c r="N16" s="30">
        <v>48.73</v>
      </c>
      <c r="O16" s="30">
        <v>71.05</v>
      </c>
      <c r="P16" s="30">
        <v>62.37</v>
      </c>
      <c r="Q16" s="30">
        <v>73.31</v>
      </c>
      <c r="R16" s="30">
        <v>69.319999999999993</v>
      </c>
      <c r="S16" s="30">
        <v>76.069999999999993</v>
      </c>
      <c r="T16" s="30">
        <v>70.510000000000005</v>
      </c>
      <c r="U16" s="30">
        <v>66.150000000000006</v>
      </c>
      <c r="V16" s="30">
        <v>95.54</v>
      </c>
      <c r="W16" s="6"/>
    </row>
    <row r="17" spans="1:23" ht="20" customHeight="1" x14ac:dyDescent="0.25">
      <c r="A17" s="1" t="s">
        <v>41</v>
      </c>
      <c r="B17" s="1" t="s">
        <v>26</v>
      </c>
      <c r="C17" s="28" t="s">
        <v>37</v>
      </c>
      <c r="D17" s="28" t="s">
        <v>28</v>
      </c>
      <c r="E17" s="30">
        <v>73.8</v>
      </c>
      <c r="F17" s="30">
        <v>43.09</v>
      </c>
      <c r="G17" s="30">
        <v>4.3649999999999993</v>
      </c>
      <c r="H17" s="30">
        <v>0.1</v>
      </c>
      <c r="I17" s="30">
        <v>3.69</v>
      </c>
      <c r="J17" s="30">
        <v>13.8</v>
      </c>
      <c r="K17" s="30">
        <v>0.41</v>
      </c>
      <c r="L17" s="30">
        <v>6.86</v>
      </c>
      <c r="M17" s="30">
        <v>1.33</v>
      </c>
      <c r="N17" s="30">
        <v>42.86</v>
      </c>
      <c r="O17" s="30">
        <v>75.290000000000006</v>
      </c>
      <c r="P17" s="30">
        <v>69.69</v>
      </c>
      <c r="Q17" s="30">
        <v>80.61</v>
      </c>
      <c r="R17" s="30">
        <v>77.62</v>
      </c>
      <c r="S17" s="30">
        <v>86.63</v>
      </c>
      <c r="T17" s="30">
        <v>72.61</v>
      </c>
      <c r="U17" s="30">
        <v>71.7</v>
      </c>
      <c r="V17" s="30">
        <v>96.12</v>
      </c>
    </row>
    <row r="18" spans="1:23" ht="20" customHeight="1" x14ac:dyDescent="0.25">
      <c r="A18" s="1" t="s">
        <v>42</v>
      </c>
      <c r="B18" s="1" t="s">
        <v>26</v>
      </c>
      <c r="C18" s="28" t="s">
        <v>37</v>
      </c>
      <c r="D18" s="28" t="s">
        <v>28</v>
      </c>
      <c r="E18" s="30">
        <v>74.16</v>
      </c>
      <c r="F18" s="30">
        <v>40.86</v>
      </c>
      <c r="G18" s="30">
        <v>9.4116666666666671</v>
      </c>
      <c r="H18" s="30">
        <v>2.5499999999999998</v>
      </c>
      <c r="I18" s="30">
        <v>21.05</v>
      </c>
      <c r="J18" s="30">
        <v>17.82</v>
      </c>
      <c r="K18" s="30">
        <v>2.41</v>
      </c>
      <c r="L18" s="30">
        <v>8.15</v>
      </c>
      <c r="M18" s="30">
        <v>4.49</v>
      </c>
      <c r="N18" s="30">
        <v>34.130000000000003</v>
      </c>
      <c r="O18" s="30">
        <v>74.959999999999994</v>
      </c>
      <c r="P18" s="30">
        <v>41.01</v>
      </c>
      <c r="Q18" s="30">
        <v>81.23</v>
      </c>
      <c r="R18" s="30">
        <v>74.459999999999994</v>
      </c>
      <c r="S18" s="30">
        <v>78.38</v>
      </c>
      <c r="T18" s="30">
        <v>66.900000000000006</v>
      </c>
      <c r="U18" s="30">
        <v>64.489999999999995</v>
      </c>
      <c r="V18" s="30">
        <v>96.33</v>
      </c>
    </row>
    <row r="19" spans="1:23" ht="20" customHeight="1" x14ac:dyDescent="0.25">
      <c r="A19" s="32" t="s">
        <v>25</v>
      </c>
      <c r="B19" s="32" t="s">
        <v>26</v>
      </c>
      <c r="C19" s="32" t="s">
        <v>37</v>
      </c>
      <c r="D19" s="32" t="s">
        <v>28</v>
      </c>
      <c r="E19" s="32">
        <v>80.83</v>
      </c>
      <c r="F19" s="32">
        <v>54.04</v>
      </c>
      <c r="G19" s="32">
        <v>26.864999999999998</v>
      </c>
      <c r="H19" s="32">
        <v>19.62</v>
      </c>
      <c r="I19" s="32">
        <v>53.89</v>
      </c>
      <c r="J19" s="32">
        <v>44.56</v>
      </c>
      <c r="K19" s="32">
        <v>11.77</v>
      </c>
      <c r="L19" s="32">
        <v>19.510000000000002</v>
      </c>
      <c r="M19" s="32">
        <v>11.84</v>
      </c>
      <c r="N19" s="32">
        <v>50.28</v>
      </c>
      <c r="O19" s="32">
        <v>72.819999999999993</v>
      </c>
      <c r="P19" s="32">
        <v>71.05</v>
      </c>
      <c r="Q19" s="32">
        <v>84.69</v>
      </c>
      <c r="R19" s="32">
        <v>80.34</v>
      </c>
      <c r="S19" s="32">
        <v>85.42</v>
      </c>
      <c r="T19" s="32">
        <v>76.010000000000005</v>
      </c>
      <c r="U19" s="32">
        <v>74.8</v>
      </c>
      <c r="V19" s="32">
        <v>97.41</v>
      </c>
      <c r="W19" s="6"/>
    </row>
    <row r="20" spans="1:23" ht="20" customHeight="1" x14ac:dyDescent="0.25">
      <c r="A20" s="32" t="s">
        <v>43</v>
      </c>
      <c r="B20" s="4" t="s">
        <v>26</v>
      </c>
      <c r="C20" s="32" t="s">
        <v>37</v>
      </c>
      <c r="D20" s="32" t="s">
        <v>28</v>
      </c>
      <c r="E20" s="33">
        <v>80.349999999999994</v>
      </c>
      <c r="F20" s="33">
        <v>52.93</v>
      </c>
      <c r="G20" s="33">
        <v>26.84</v>
      </c>
      <c r="H20" s="33">
        <v>19.89</v>
      </c>
      <c r="I20" s="33">
        <v>55.19</v>
      </c>
      <c r="J20" s="33">
        <v>43.28</v>
      </c>
      <c r="K20" s="33">
        <v>11.73</v>
      </c>
      <c r="L20" s="33">
        <v>19.97</v>
      </c>
      <c r="M20" s="33">
        <v>10.98</v>
      </c>
      <c r="N20" s="33">
        <v>44.41</v>
      </c>
      <c r="O20" s="33">
        <v>71.930000000000007</v>
      </c>
      <c r="P20" s="33">
        <v>67.73</v>
      </c>
      <c r="Q20" s="33">
        <v>84.11</v>
      </c>
      <c r="R20" s="33">
        <v>79.36</v>
      </c>
      <c r="S20" s="33">
        <v>83.35</v>
      </c>
      <c r="T20" s="33">
        <v>75.099999999999994</v>
      </c>
      <c r="U20" s="33">
        <v>74.010000000000005</v>
      </c>
      <c r="V20" s="33">
        <v>97.34</v>
      </c>
      <c r="W20" s="6"/>
    </row>
    <row r="21" spans="1:23" ht="20" customHeight="1" x14ac:dyDescent="0.25">
      <c r="A21" s="32" t="s">
        <v>44</v>
      </c>
      <c r="B21" s="4" t="s">
        <v>26</v>
      </c>
      <c r="C21" s="32" t="s">
        <v>37</v>
      </c>
      <c r="D21" s="32" t="s">
        <v>28</v>
      </c>
      <c r="E21" s="33">
        <v>77.63</v>
      </c>
      <c r="F21" s="33">
        <f>AVERAGE(H21:U21)</f>
        <v>51.750714285714288</v>
      </c>
      <c r="G21" s="33">
        <f>AVERAGE(H21:M21)</f>
        <v>26.25</v>
      </c>
      <c r="H21" s="33">
        <v>17.54</v>
      </c>
      <c r="I21" s="33">
        <v>53.12</v>
      </c>
      <c r="J21" s="33">
        <v>44.31</v>
      </c>
      <c r="K21" s="33">
        <v>11.44</v>
      </c>
      <c r="L21" s="33">
        <v>19.37</v>
      </c>
      <c r="M21" s="33">
        <v>11.72</v>
      </c>
      <c r="N21" s="33">
        <v>46.84</v>
      </c>
      <c r="O21" s="33">
        <v>70.95</v>
      </c>
      <c r="P21" s="33">
        <v>63.31</v>
      </c>
      <c r="Q21" s="33">
        <v>83.92</v>
      </c>
      <c r="R21" s="33">
        <v>79.19</v>
      </c>
      <c r="S21" s="33">
        <v>84.17</v>
      </c>
      <c r="T21" s="33">
        <v>70.739999999999995</v>
      </c>
      <c r="U21" s="33">
        <v>67.89</v>
      </c>
      <c r="V21" s="33">
        <v>96.95</v>
      </c>
      <c r="W21" s="6"/>
    </row>
    <row r="22" spans="1:23" ht="20" customHeight="1" x14ac:dyDescent="0.25">
      <c r="A22" s="32" t="s">
        <v>45</v>
      </c>
      <c r="B22" s="4" t="s">
        <v>26</v>
      </c>
      <c r="C22" s="32" t="s">
        <v>37</v>
      </c>
      <c r="D22" s="32" t="s">
        <v>28</v>
      </c>
      <c r="E22" s="33">
        <v>75.209999999999994</v>
      </c>
      <c r="F22" s="33">
        <f t="shared" ref="F22:F23" si="0">AVERAGE(H22:U22)</f>
        <v>49.91571428571428</v>
      </c>
      <c r="G22" s="33">
        <f t="shared" ref="G22:G23" si="1">AVERAGE(H22:M22)</f>
        <v>25.795000000000002</v>
      </c>
      <c r="H22" s="33">
        <v>15.05</v>
      </c>
      <c r="I22" s="33">
        <v>53.88</v>
      </c>
      <c r="J22" s="33">
        <v>42.78</v>
      </c>
      <c r="K22" s="33">
        <v>12.78</v>
      </c>
      <c r="L22" s="33">
        <v>18.899999999999999</v>
      </c>
      <c r="M22" s="33">
        <v>11.38</v>
      </c>
      <c r="N22" s="33">
        <v>42.29</v>
      </c>
      <c r="O22" s="33">
        <v>72.84</v>
      </c>
      <c r="P22" s="33">
        <v>57.24</v>
      </c>
      <c r="Q22" s="33">
        <v>82.69</v>
      </c>
      <c r="R22" s="33">
        <v>76.959999999999994</v>
      </c>
      <c r="S22" s="33">
        <v>81.95</v>
      </c>
      <c r="T22" s="33">
        <v>66.650000000000006</v>
      </c>
      <c r="U22" s="33">
        <v>63.43</v>
      </c>
      <c r="V22" s="33">
        <v>96.6</v>
      </c>
      <c r="W22" s="6"/>
    </row>
    <row r="23" spans="1:23" ht="15.5" x14ac:dyDescent="0.25">
      <c r="A23" s="33" t="s">
        <v>46</v>
      </c>
      <c r="B23" s="4" t="s">
        <v>26</v>
      </c>
      <c r="C23" s="33" t="s">
        <v>37</v>
      </c>
      <c r="D23" s="33" t="s">
        <v>28</v>
      </c>
      <c r="E23" s="33">
        <v>74.239999999999995</v>
      </c>
      <c r="F23" s="33">
        <f t="shared" si="0"/>
        <v>48.227857142857147</v>
      </c>
      <c r="G23" s="33">
        <f t="shared" si="1"/>
        <v>25.251666666666665</v>
      </c>
      <c r="H23" s="33">
        <v>15.32</v>
      </c>
      <c r="I23" s="33">
        <v>51.46</v>
      </c>
      <c r="J23" s="33">
        <v>42.01</v>
      </c>
      <c r="K23" s="33">
        <v>11.31</v>
      </c>
      <c r="L23" s="33">
        <v>19.23</v>
      </c>
      <c r="M23" s="33">
        <v>12.18</v>
      </c>
      <c r="N23" s="33">
        <v>32.340000000000003</v>
      </c>
      <c r="O23" s="33">
        <v>74.260000000000005</v>
      </c>
      <c r="P23" s="33">
        <v>53.06</v>
      </c>
      <c r="Q23" s="33">
        <v>81.56</v>
      </c>
      <c r="R23" s="33">
        <v>74.53</v>
      </c>
      <c r="S23" s="33">
        <v>80.989999999999995</v>
      </c>
      <c r="T23" s="33">
        <v>64.88</v>
      </c>
      <c r="U23" s="33">
        <v>62.06</v>
      </c>
      <c r="V23" s="33">
        <v>96.45</v>
      </c>
    </row>
  </sheetData>
  <mergeCells count="10">
    <mergeCell ref="A1:V1"/>
    <mergeCell ref="A2:A3"/>
    <mergeCell ref="C2:C3"/>
    <mergeCell ref="D2:D3"/>
    <mergeCell ref="F2:F3"/>
    <mergeCell ref="E2:E3"/>
    <mergeCell ref="B2:B3"/>
    <mergeCell ref="H2:M2"/>
    <mergeCell ref="N2:V2"/>
    <mergeCell ref="G2:G3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白骁凯</cp:lastModifiedBy>
  <dcterms:created xsi:type="dcterms:W3CDTF">2026-03-30T07:46:49Z</dcterms:created>
  <dcterms:modified xsi:type="dcterms:W3CDTF">2026-04-13T07:05:57Z</dcterms:modified>
</cp:coreProperties>
</file>